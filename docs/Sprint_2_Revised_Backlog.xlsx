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080e14190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2" sheetId="1" r:id="Rebc55fed3cfc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243746"/>
      <x:name val="Arial"/>
    </x:font>
    <x:font>
      <x:b/>
      <x:sz val="14"/>
      <x:color rgb="FF18344C"/>
      <x:name val="Arial"/>
    </x:font>
    <x:font>
      <x:i/>
      <x:sz val="10"/>
      <x:color rgb="FF5267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44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</x:cellXfs>
  <x:cellStyles count="1">
    <x:cellStyle name="Normal" xfId="0"/>
  </x:cellStyles>
  <x:dxfs count="1">
    <x:dxf>
      <x:font>
        <x:color rgb="FF78551B"/>
      </x:font>
      <x:fill>
        <x:patternFill patternType="solid">
          <x:bgColor rgb="FFFFF1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ef51eca024e1c" /><Relationship Type="http://schemas.openxmlformats.org/officeDocument/2006/relationships/theme" Target="/xl/theme/theme1.xml" Id="Rcb8934d632db4dec" /><Relationship Type="http://schemas.openxmlformats.org/officeDocument/2006/relationships/sharedStrings" Target="/xl/sharedStrings.xml" Id="Rc555ed915ead4e15" /><Relationship Type="http://schemas.openxmlformats.org/officeDocument/2006/relationships/worksheet" Target="/xl/worksheets/sheet1.xml" Id="Rebc55fed3cfc4fd4" /></Relationships>
</file>

<file path=xl/tables/table1.xml><?xml version="1.0" encoding="utf-8"?>
<x:table xmlns:x="http://schemas.openxmlformats.org/spreadsheetml/2006/main" id="1" name="Sprint2Tasks" displayName="Sprint2Tasks" ref="A6:G17" headerRowCount="1" totalsRowCount="0" totalsRowShown="0">
  <x:autoFilter ref="A6:G17"/>
  <x:tableColumns count="7">
    <x:tableColumn id="1" name="Task"/>
    <x:tableColumn id="2" name="Stories"/>
    <x:tableColumn id="3" name="Epic"/>
    <x:tableColumn id="4" name="Work"/>
    <x:tableColumn id="5" name="Est. (h)"/>
    <x:tableColumn id="6" name="Status"/>
    <x:tableColumn id="7" name="Acceptance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3f4096eb7e44b5" /></Relationships>
</file>

<file path=xl/worksheets/sheet1.xml><?xml version="1.0" encoding="utf-8"?>
<x:worksheet xmlns:x="http://schemas.openxmlformats.org/spreadsheetml/2006/main">
  <x:sheetPr>
    <x:tabColor rgb="FF18344C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23" hidden="0" customWidth="1"/>
    <x:col min="4" max="4" width="51" hidden="0" customWidth="1"/>
    <x:col min="5" max="5" width="11" hidden="0" customWidth="1"/>
    <x:col min="6" max="6" width="12" hidden="0" customWidth="1"/>
    <x:col min="7" max="7" width="49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Sprint 2 revised backlog</x:v>
      </x:c>
      <x:c r="B2" s="1"/>
      <x:c r="C2" s="1"/>
      <x:c r="D2" s="1"/>
      <x:c r="E2" s="1"/>
      <x:c r="F2" s="1"/>
      <x:c r="G2" s="1"/>
    </x:row>
    <x:row r="3">
      <x:c r="A3" s="1" t="str">
        <x:v>Tasks done</x:v>
      </x:c>
      <x:c r="B3" s="11" t="n">
        <x:f>COUNTIFS(F7:F17,"Done")</x:f>
        <x:v>11</x:v>
      </x:c>
      <x:c r="C3" s="1" t="str">
        <x:v>Estimate (h)</x:v>
      </x:c>
      <x:c r="D3" s="11" t="n">
        <x:f>SUM(E7:E17)</x:f>
        <x:v>44</x:v>
      </x:c>
      <x:c r="E3" s="1"/>
      <x:c r="F3" s="1"/>
      <x:c r="G3" s="1"/>
    </x:row>
    <x:row r="4">
      <x:c r="A4" s="3" t="str">
        <x:v>Source: ProductDevelopmentTrack-RequirementsSpec, Sprint 2. Estimates are planned hours; actual hours were not recorded.</x:v>
      </x:c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28" customHeight="1">
      <x:c r="A6" s="7" t="str">
        <x:v>Task</x:v>
      </x:c>
      <x:c r="B6" s="7" t="str">
        <x:v>Stories</x:v>
      </x:c>
      <x:c r="C6" s="7" t="str">
        <x:v>Epic</x:v>
      </x:c>
      <x:c r="D6" s="7" t="str">
        <x:v>Work</x:v>
      </x:c>
      <x:c r="E6" s="7" t="str">
        <x:v>Est. (h)</x:v>
      </x:c>
      <x:c r="F6" s="7" t="str">
        <x:v>Status</x:v>
      </x:c>
      <x:c r="G6" s="7" t="str">
        <x:v>Acceptance evidence</x:v>
      </x:c>
    </x:row>
    <x:row r="7" ht="62" customHeight="1">
      <x:c r="A7" s="9" t="str">
        <x:v>B-015</x:v>
      </x:c>
      <x:c r="B7" s="9" t="str">
        <x:v>FR-04</x:v>
      </x:c>
      <x:c r="C7" s="9" t="str">
        <x:v>Candidate Generator</x:v>
      </x:c>
      <x:c r="D7" s="9" t="str">
        <x:v>Load one collection’s missing-index hints and preserve source IDs.</x:v>
      </x:c>
      <x:c r="E7" s="10" t="n">
        <x:v>4</x:v>
      </x:c>
      <x:c r="F7" s="9" t="str">
        <x:v>Done</x:v>
      </x:c>
      <x:c r="G7" s="9" t="str">
        <x:v>Stored SQL fixture produces 2 CREATE candidates.</x:v>
      </x:c>
    </x:row>
    <x:row r="8" ht="62" customHeight="1">
      <x:c r="A8" s="9" t="str">
        <x:v>B-016</x:v>
      </x:c>
      <x:c r="B8" s="9" t="str">
        <x:v>FR-04, FR-10</x:v>
      </x:c>
      <x:c r="C8" s="9" t="str">
        <x:v>Candidate Generator</x:v>
      </x:c>
      <x:c r="D8" s="9" t="str">
        <x:v>Load historical metadata and reset-compatible usage observations.</x:v>
      </x:c>
      <x:c r="E8" s="10" t="n">
        <x:v>4</x:v>
      </x:c>
      <x:c r="F8" s="9" t="str">
        <x:v>Done</x:v>
      </x:c>
      <x:c r="G8" s="9" t="str">
        <x:v>No future metadata; stale/reset/missing-baseline checks pass.</x:v>
      </x:c>
    </x:row>
    <x:row r="9" ht="62" customHeight="1">
      <x:c r="A9" s="9" t="str">
        <x:v>B-017</x:v>
      </x:c>
      <x:c r="B9" s="9" t="str">
        <x:v>FR-04</x:v>
      </x:c>
      <x:c r="C9" s="9" t="str">
        <x:v>Candidate Generator</x:v>
      </x:c>
      <x:c r="D9" s="9" t="str">
        <x:v>Parse identifiers, merge duplicate hints and suppress covered indexes.</x:v>
      </x:c>
      <x:c r="E9" s="10" t="n">
        <x:v>4</x:v>
      </x:c>
      <x:c r="F9" s="9" t="str">
        <x:v>Done</x:v>
      </x:c>
      <x:c r="G9" s="9" t="str">
        <x:v>Escaped identifiers, duplicate merging and coverage tests pass.</x:v>
      </x:c>
    </x:row>
    <x:row r="10" ht="62" customHeight="1">
      <x:c r="A10" s="9" t="str">
        <x:v>B-018</x:v>
      </x:c>
      <x:c r="B10" s="9" t="str">
        <x:v>FR-05</x:v>
      </x:c>
      <x:c r="C10" s="9" t="str">
        <x:v>Scoring Engine</x:v>
      </x:c>
      <x:c r="D10" s="9" t="str">
        <x:v>Calculate read benefit from optimizer cost, impact and frequency.</x:v>
      </x:c>
      <x:c r="E10" s="10" t="n">
        <x:v>4</x:v>
      </x:c>
      <x:c r="F10" s="9" t="str">
        <x:v>Done</x:v>
      </x:c>
      <x:c r="G10" s="9" t="str">
        <x:v>Orders read benefit 112.8979 heuristic points.</x:v>
      </x:c>
    </x:row>
    <x:row r="11" ht="62" customHeight="1">
      <x:c r="A11" s="9" t="str">
        <x:v>B-019</x:v>
      </x:c>
      <x:c r="B11" s="9" t="str">
        <x:v>FR-05</x:v>
      </x:c>
      <x:c r="C11" s="9" t="str">
        <x:v>Scoring Engine</x:v>
      </x:c>
      <x:c r="D11" s="9" t="str">
        <x:v>Calculate separate write, width, storage and maintenance penalties.</x:v>
      </x:c>
      <x:c r="E11" s="10" t="n">
        <x:v>4</x:v>
      </x:c>
      <x:c r="F11" s="9" t="str">
        <x:v>Done</x:v>
      </x:c>
      <x:c r="G11" s="9" t="str">
        <x:v>Orders ranks above Events; operational reset checks pass.</x:v>
      </x:c>
    </x:row>
    <x:row r="12" ht="62" customHeight="1">
      <x:c r="A12" s="9" t="str">
        <x:v>B-020</x:v>
      </x:c>
      <x:c r="B12" s="9" t="str">
        <x:v>FR-05, FR-10</x:v>
      </x:c>
      <x:c r="C12" s="9" t="str">
        <x:v>Safety Controller</x:v>
      </x:c>
      <x:c r="D12" s="9" t="str">
        <x:v>Reject infeasible candidates and protect critical indexes.</x:v>
      </x:c>
      <x:c r="E12" s="10" t="n">
        <x:v>4</x:v>
      </x:c>
      <x:c r="F12" s="9" t="str">
        <x:v>Done</x:v>
      </x:c>
      <x:c r="G12" s="9" t="str">
        <x:v>PK/unique/constraint protection and width/type checks pass.</x:v>
      </x:c>
    </x:row>
    <x:row r="13" ht="62" customHeight="1">
      <x:c r="A13" s="9" t="str">
        <x:v>B-021</x:v>
      </x:c>
      <x:c r="B13" s="9" t="str">
        <x:v>FR-10</x:v>
      </x:c>
      <x:c r="C13" s="9" t="str">
        <x:v>Candidate Generator</x:v>
      </x:c>
      <x:c r="D13" s="9" t="str">
        <x:v>Produce conservative redundant/unused-index RETAIN and DROP advice.</x:v>
      </x:c>
      <x:c r="E13" s="10" t="n">
        <x:v>4</x:v>
      </x:c>
      <x:c r="F13" s="9" t="str">
        <x:v>Done</x:v>
      </x:c>
      <x:c r="G13" s="9" t="str">
        <x:v>2 duplicate DROP suggestions; sustained unused-index test passes.</x:v>
      </x:c>
    </x:row>
    <x:row r="14" ht="62" customHeight="1">
      <x:c r="A14" s="9" t="str">
        <x:v>B-022</x:v>
      </x:c>
      <x:c r="B14" s="9" t="str">
        <x:v>FR-05, FR-06</x:v>
      </x:c>
      <x:c r="C14" s="9" t="str">
        <x:v>Feature Store / Workload History</x:v>
      </x:c>
      <x:c r="D14" s="9" t="str">
        <x:v>Persist input snapshot, result, policy, engine version and evidence hash.</x:v>
      </x:c>
      <x:c r="E14" s="10" t="n">
        <x:v>3</x:v>
      </x:c>
      <x:c r="F14" s="9" t="str">
        <x:v>Done</x:v>
      </x:c>
      <x:c r="G14" s="9" t="str">
        <x:v>SQL-backed result survives a fresh application instance.</x:v>
      </x:c>
    </x:row>
    <x:row r="15" ht="62" customHeight="1">
      <x:c r="A15" s="9" t="str">
        <x:v>B-023</x:v>
      </x:c>
      <x:c r="B15" s="9" t="str">
        <x:v>FR-04, FR-05</x:v>
      </x:c>
      <x:c r="C15" s="9" t="str">
        <x:v>Reporting UI</x:v>
      </x:c>
      <x:c r="D15" s="9" t="str">
        <x:v>Expose analysis API and ranked, filterable saved recommendations.</x:v>
      </x:c>
      <x:c r="E15" s="10" t="n">
        <x:v>4</x:v>
      </x:c>
      <x:c r="F15" s="9" t="str">
        <x:v>Done</x:v>
      </x:c>
      <x:c r="G15" s="9" t="str">
        <x:v>Action/status/search checks and browser walkthrough pass.</x:v>
      </x:c>
    </x:row>
    <x:row r="16" ht="62" customHeight="1">
      <x:c r="A16" s="9" t="str">
        <x:v>B-024</x:v>
      </x:c>
      <x:c r="B16" s="9" t="str">
        <x:v>FR-06</x:v>
      </x:c>
      <x:c r="C16" s="9" t="str">
        <x:v>Reporting UI</x:v>
      </x:c>
      <x:c r="D16" s="9" t="str">
        <x:v>Show advisory SQL, rationale, query evidence, scores and assumptions.</x:v>
      </x:c>
      <x:c r="E16" s="10" t="n">
        <x:v>4</x:v>
      </x:c>
      <x:c r="F16" s="9" t="str">
        <x:v>Done</x:v>
      </x:c>
      <x:c r="G16" s="9" t="str">
        <x:v>Browser detail and expanded query evidence verified.</x:v>
      </x:c>
    </x:row>
    <x:row r="17" ht="62" customHeight="1">
      <x:c r="A17" s="9" t="str">
        <x:v>B-025</x:v>
      </x:c>
      <x:c r="B17" s="9" t="str">
        <x:v>All four</x:v>
      </x:c>
      <x:c r="C17" s="9" t="str">
        <x:v>Platform / CI-CD</x:v>
      </x:c>
      <x:c r="D17" s="9" t="str">
        <x:v>Add unit/API/SQL checks and reproducible acceptance demonstration.</x:v>
      </x:c>
      <x:c r="E17" s="10" t="n">
        <x:v>5</x:v>
      </x:c>
      <x:c r="F17" s="9" t="str">
        <x:v>Done</x:v>
      </x:c>
      <x:c r="G17" s="9" t="str">
        <x:v>140 backend tests, 12 frontend checks and build passed.</x:v>
      </x:c>
    </x:row>
  </x:sheetData>
  <x:conditionalFormatting sqref="F7:F17">
    <x:cfRule type="containsText" dxfId="0" priority="1" operator="containsText" text="In progress"/>
  </x:conditionalFormatting>
  <x:dataValidations count="1">
    <x:dataValidation type="list" sqref="F7:F17">
      <x:formula1>"Done,In progress,Planned"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3f4096eb7e44b5"/>
  </x:tableParts>
</x:worksheet>
</file>